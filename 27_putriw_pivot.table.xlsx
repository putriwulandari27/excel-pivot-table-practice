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C:\Users\ASUS\Downloads\"/>
    </mc:Choice>
  </mc:AlternateContent>
  <xr:revisionPtr revIDLastSave="0" documentId="13_ncr:1_{9D650C54-6A52-42F6-AA09-1FF4841A3BA0}"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Slicer_Barang">#N/A</definedName>
    <definedName name="Slicer_Harga">#N/A</definedName>
    <definedName name="Slicer_Id_Order">#N/A</definedName>
    <definedName name="Slicer_Jumlah">#N/A</definedName>
    <definedName name="Slicer_Suplier_Toko">#N/A</definedName>
    <definedName name="Slicer_Total">#N/A</definedName>
  </definedNames>
  <calcPr calcId="162913"/>
  <pivotCaches>
    <pivotCache cacheId="4" r:id="rId2"/>
  </pivotCaches>
  <extLst>
    <ext xmlns:x14="http://schemas.microsoft.com/office/spreadsheetml/2009/9/main" uri="{BBE1A952-AA13-448e-AADC-164F8A28A991}">
      <x14:slicerCaches>
        <x14:slicerCache r:id="rId3"/>
        <x14:slicerCache r:id="rId4"/>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<sst xmlns="http://schemas.openxmlformats.org/spreadsheetml/2006/main" count="142" uniqueCount="39">
  <si>
    <t>Id Order</t>
  </si>
  <si>
    <t>Tanggal</t>
  </si>
  <si>
    <t>Barang</t>
  </si>
  <si>
    <t>Cabai</t>
  </si>
  <si>
    <t>Kunyit</t>
  </si>
  <si>
    <t>Bawang Merah</t>
  </si>
  <si>
    <t>Bawang Putih</t>
  </si>
  <si>
    <t>Kencur</t>
  </si>
  <si>
    <t>Jahe</t>
  </si>
  <si>
    <t>Suplier Toko</t>
  </si>
  <si>
    <t>Laris</t>
  </si>
  <si>
    <t>Satu</t>
  </si>
  <si>
    <t>Sumber Rezeki</t>
  </si>
  <si>
    <t>Bulan</t>
  </si>
  <si>
    <t>Jan</t>
  </si>
  <si>
    <t>Feb</t>
  </si>
  <si>
    <t>Apr</t>
  </si>
  <si>
    <t>Maret</t>
  </si>
  <si>
    <t>May</t>
  </si>
  <si>
    <t>Tahun</t>
  </si>
  <si>
    <t>Kuartal</t>
  </si>
  <si>
    <t>Q1</t>
  </si>
  <si>
    <t>Q2</t>
  </si>
  <si>
    <t>Jumlah</t>
  </si>
  <si>
    <t>Harga</t>
  </si>
  <si>
    <t>Total</t>
  </si>
  <si>
    <t>Grand Total</t>
  </si>
  <si>
    <t/>
  </si>
  <si>
    <t>Column Labels</t>
  </si>
  <si>
    <t>Sum of Jumlah</t>
  </si>
  <si>
    <t>(All)</t>
  </si>
  <si>
    <t>1. Setelah memasukkan Field ke dalam Bidang maka yang dihasilkan adalah tabel yang berisi data seperti :</t>
  </si>
  <si>
    <t>. Rows menampilkan daftar nama barang yang ada di data (bawang merah/putih, jahe, kunyit, cabai, dll)</t>
  </si>
  <si>
    <t>. Columns menampilkan nama nama suplier toko (Suber Rezeki dan Satu)</t>
  </si>
  <si>
    <t>. Values : di tabel muncul Total Jumlah (Sum of jumlah) barang yang disuplai oleh masing-masing toko</t>
  </si>
  <si>
    <t>2. Setelah memasukkan field Tahun ke dalam area Filters, sebuah baris baru muncul di bagian paling atas Pivot Tabel.</t>
  </si>
  <si>
    <t>. Di dalam tabel berisi label "Tahun" dan di sampingnya secara bawaan bertuliskan "(All)".</t>
  </si>
  <si>
    <t>3. Hasilnya adalah sebuah dashboard sederhana. Grafik tersebut berfungsi sebagai alat presentasi yang efektif untuk menunjukkan data distribusi barang secara visual tanpa perlu menghitung ulang data mentah.</t>
  </si>
  <si>
    <t>4. Slicer memudahkan proses analisis per jenis barang atay per supplier menjadi jauh lebih cepat.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</si>
</sst>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p&quot;#,##0"/>
  </numFmts>
  <fonts count="2" x14ac:knownFonts="1">
    <font>
      <sz val="11"/>
      <color theme="1"/>
      <name val="Calibri"/>
      <family val="2"/>
      <charset val="1"/>
      <scheme val="minor"/>
    </font>
    <font>
      <b/>
      <sz val="11"/>
      <color theme="1"/>
      <name val="Calibri"/>
      <family val="2"/>
      <scheme val="minor"/>
    </font>
  </fonts>
  <fills count="3">
    <fill>
      <patternFill patternType="none"/>
    </fill>
    <fill>
      <patternFill patternType="gray125"/>
    </fill>
    <fill>
      <patternFill patternType="solid">
        <fgColor theme="7"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1" xfId="0" applyBorder="1" applyAlignment="1">
      <alignment horizontal="center"/>
    </xf>
    <xf numFmtId="14" fontId="0" fillId="0" borderId="1" xfId="0" applyNumberFormat="1" applyBorder="1" applyAlignment="1">
      <alignment horizontal="center"/>
    </xf>
    <xf numFmtId="164" fontId="0" fillId="0" borderId="1" xfId="0" applyNumberFormat="1" applyBorder="1" applyAlignment="1">
      <alignment horizontal="center"/>
    </xf>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0" fillId="0" borderId="0" xfId="0" applyNumberFormat="1"/>
    <xf numFmtId="0" fontId="0" fillId="0" borderId="0" xfId="0" pivotButton="1"/>
    <xf numFmtId="0" fontId="0" fillId="0" borderId="0" xfId="0" applyAlignment="1">
      <alignment horizontal="left"/>
    </xf>
    <xf numFmtId="0" fontId="0" fillId="0" borderId="0"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6.xml"/><Relationship Id="rId3" Type="http://schemas.microsoft.com/office/2007/relationships/slicerCache" Target="slicerCaches/slicerCache1.xml"/><Relationship Id="rId7" Type="http://schemas.microsoft.com/office/2007/relationships/slicerCache" Target="slicerCaches/slicerCache5.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07/relationships/slicerCache" Target="slicerCaches/slicerCache4.xml"/><Relationship Id="rId11" Type="http://schemas.openxmlformats.org/officeDocument/2006/relationships/sharedStrings" Target="sharedStrings.xml"/><Relationship Id="rId5" Type="http://schemas.microsoft.com/office/2007/relationships/slicerCache" Target="slicerCaches/slicerCache3.xml"/><Relationship Id="rId10" Type="http://schemas.openxmlformats.org/officeDocument/2006/relationships/styles" Target="styles.xml"/><Relationship Id="rId4" Type="http://schemas.microsoft.com/office/2007/relationships/slicerCache" Target="slicerCaches/slicerCache2.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[kelompok pivot tabel (1).xlsx]Sheet1!PivotTable1</c:name>
    <c:fmtId val="0"/>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Sheet1!$M$3:$M$4</c:f>
              <c:strCache>
                <c:ptCount val="1"/>
                <c:pt idx="0">
                  <c:v>Laris</c:v>
                </c:pt>
              </c:strCache>
            </c:strRef>
          </c:tx>
          <c:spPr>
            <a:solidFill>
              <a:schemeClr val="accent1"/>
            </a:solidFill>
            <a:ln>
              <a:noFill/>
            </a:ln>
            <a:effectLst/>
            <a:sp3d/>
          </c:spPr>
          <c:invertIfNegative val="0"/>
          <c:cat>
            <c:strRef>
              <c:f>Sheet1!$L$5:$L$11</c:f>
              <c:strCache>
                <c:ptCount val="6"/>
                <c:pt idx="0">
                  <c:v>Bawang Merah</c:v>
                </c:pt>
                <c:pt idx="1">
                  <c:v>Bawang Putih</c:v>
                </c:pt>
                <c:pt idx="2">
                  <c:v>Cabai</c:v>
                </c:pt>
                <c:pt idx="3">
                  <c:v>Jahe</c:v>
                </c:pt>
                <c:pt idx="4">
                  <c:v>Kencur</c:v>
                </c:pt>
                <c:pt idx="5">
                  <c:v>Kunyit</c:v>
                </c:pt>
              </c:strCache>
            </c:strRef>
          </c:cat>
          <c:val>
            <c:numRef>
              <c:f>Sheet1!$M$5:$M$11</c:f>
              <c:numCache>
                <c:formatCode>General</c:formatCode>
                <c:ptCount val="6"/>
                <c:pt idx="1">
                  <c:v>177</c:v>
                </c:pt>
                <c:pt idx="2">
                  <c:v>297</c:v>
                </c:pt>
                <c:pt idx="4">
                  <c:v>164</c:v>
                </c:pt>
                <c:pt idx="5">
                  <c:v>389</c:v>
                </c:pt>
              </c:numCache>
            </c:numRef>
          </c:val>
          <c:extLst>
            <c:ext xmlns:c16="http://schemas.microsoft.com/office/drawing/2014/chart" uri="{C3380CC4-5D6E-409C-BE32-E72D297353CC}">
              <c16:uniqueId val="{00000000-C85F-4880-B89F-8FFBFBBCA6A8}"/>
            </c:ext>
          </c:extLst>
        </c:ser>
        <c:ser>
          <c:idx val="1"/>
          <c:order val="1"/>
          <c:tx>
            <c:strRef>
              <c:f>Sheet1!$N$3:$N$4</c:f>
              <c:strCache>
                <c:ptCount val="1"/>
                <c:pt idx="0">
                  <c:v>Satu</c:v>
                </c:pt>
              </c:strCache>
            </c:strRef>
          </c:tx>
          <c:spPr>
            <a:solidFill>
              <a:schemeClr val="accent2"/>
            </a:solidFill>
            <a:ln>
              <a:noFill/>
            </a:ln>
            <a:effectLst/>
            <a:sp3d/>
          </c:spPr>
          <c:invertIfNegative val="0"/>
          <c:cat>
            <c:strRef>
              <c:f>Sheet1!$L$5:$L$11</c:f>
              <c:strCache>
                <c:ptCount val="6"/>
                <c:pt idx="0">
                  <c:v>Bawang Merah</c:v>
                </c:pt>
                <c:pt idx="1">
                  <c:v>Bawang Putih</c:v>
                </c:pt>
                <c:pt idx="2">
                  <c:v>Cabai</c:v>
                </c:pt>
                <c:pt idx="3">
                  <c:v>Jahe</c:v>
                </c:pt>
                <c:pt idx="4">
                  <c:v>Kencur</c:v>
                </c:pt>
                <c:pt idx="5">
                  <c:v>Kunyit</c:v>
                </c:pt>
              </c:strCache>
            </c:strRef>
          </c:cat>
          <c:val>
            <c:numRef>
              <c:f>Sheet1!$N$5:$N$11</c:f>
              <c:numCache>
                <c:formatCode>General</c:formatCode>
                <c:ptCount val="6"/>
                <c:pt idx="0">
                  <c:v>276</c:v>
                </c:pt>
                <c:pt idx="1">
                  <c:v>65</c:v>
                </c:pt>
                <c:pt idx="2">
                  <c:v>167</c:v>
                </c:pt>
                <c:pt idx="3">
                  <c:v>304</c:v>
                </c:pt>
                <c:pt idx="4">
                  <c:v>193</c:v>
                </c:pt>
              </c:numCache>
            </c:numRef>
          </c:val>
          <c:extLst>
            <c:ext xmlns:c16="http://schemas.microsoft.com/office/drawing/2014/chart" uri="{C3380CC4-5D6E-409C-BE32-E72D297353CC}">
              <c16:uniqueId val="{00000001-C85F-4880-B89F-8FFBFBBCA6A8}"/>
            </c:ext>
          </c:extLst>
        </c:ser>
        <c:ser>
          <c:idx val="2"/>
          <c:order val="2"/>
          <c:tx>
            <c:strRef>
              <c:f>Sheet1!$O$3:$O$4</c:f>
              <c:strCache>
                <c:ptCount val="1"/>
                <c:pt idx="0">
                  <c:v>Sumber Rezeki</c:v>
                </c:pt>
              </c:strCache>
            </c:strRef>
          </c:tx>
          <c:spPr>
            <a:solidFill>
              <a:schemeClr val="accent3"/>
            </a:solidFill>
            <a:ln>
              <a:noFill/>
            </a:ln>
            <a:effectLst/>
            <a:sp3d/>
          </c:spPr>
          <c:invertIfNegative val="0"/>
          <c:cat>
            <c:strRef>
              <c:f>Sheet1!$L$5:$L$11</c:f>
              <c:strCache>
                <c:ptCount val="6"/>
                <c:pt idx="0">
                  <c:v>Bawang Merah</c:v>
                </c:pt>
                <c:pt idx="1">
                  <c:v>Bawang Putih</c:v>
                </c:pt>
                <c:pt idx="2">
                  <c:v>Cabai</c:v>
                </c:pt>
                <c:pt idx="3">
                  <c:v>Jahe</c:v>
                </c:pt>
                <c:pt idx="4">
                  <c:v>Kencur</c:v>
                </c:pt>
                <c:pt idx="5">
                  <c:v>Kunyit</c:v>
                </c:pt>
              </c:strCache>
            </c:strRef>
          </c:cat>
          <c:val>
            <c:numRef>
              <c:f>Sheet1!$O$5:$O$11</c:f>
              <c:numCache>
                <c:formatCode>General</c:formatCode>
                <c:ptCount val="6"/>
                <c:pt idx="0">
                  <c:v>358</c:v>
                </c:pt>
                <c:pt idx="1">
                  <c:v>151</c:v>
                </c:pt>
                <c:pt idx="2">
                  <c:v>93</c:v>
                </c:pt>
                <c:pt idx="3">
                  <c:v>130</c:v>
                </c:pt>
                <c:pt idx="4">
                  <c:v>378</c:v>
                </c:pt>
                <c:pt idx="5">
                  <c:v>259</c:v>
                </c:pt>
              </c:numCache>
            </c:numRef>
          </c:val>
          <c:extLst>
            <c:ext xmlns:c16="http://schemas.microsoft.com/office/drawing/2014/chart" uri="{C3380CC4-5D6E-409C-BE32-E72D297353CC}">
              <c16:uniqueId val="{00000002-C85F-4880-B89F-8FFBFBBCA6A8}"/>
            </c:ext>
          </c:extLst>
        </c:ser>
        <c:dLbls>
          <c:showLegendKey val="0"/>
          <c:showVal val="0"/>
          <c:showCatName val="0"/>
          <c:showSerName val="0"/>
          <c:showPercent val="0"/>
          <c:showBubbleSize val="0"/>
        </c:dLbls>
        <c:gapWidth val="150"/>
        <c:shape val="box"/>
        <c:axId val="426333368"/>
        <c:axId val="426329760"/>
        <c:axId val="345478480"/>
      </c:bar3DChart>
      <c:catAx>
        <c:axId val="4263333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329760"/>
        <c:crosses val="autoZero"/>
        <c:auto val="1"/>
        <c:lblAlgn val="ctr"/>
        <c:lblOffset val="100"/>
        <c:noMultiLvlLbl val="0"/>
      </c:catAx>
      <c:valAx>
        <c:axId val="426329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333368"/>
        <c:crosses val="autoZero"/>
        <c:crossBetween val="between"/>
      </c:valAx>
      <c:serAx>
        <c:axId val="34547848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32976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9524</xdr:colOff>
      <xdr:row>13</xdr:row>
      <xdr:rowOff>180975</xdr:rowOff>
    </xdr:from>
    <xdr:to>
      <xdr:col>16</xdr:col>
      <xdr:colOff>600074</xdr:colOff>
      <xdr:row>29</xdr:row>
      <xdr:rowOff>9525</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31750</xdr:colOff>
      <xdr:row>38</xdr:row>
      <xdr:rowOff>177800</xdr:rowOff>
    </xdr:from>
    <xdr:to>
      <xdr:col>2</xdr:col>
      <xdr:colOff>501650</xdr:colOff>
      <xdr:row>52</xdr:row>
      <xdr:rowOff>123825</xdr:rowOff>
    </xdr:to>
    <mc:AlternateContent xmlns:mc="http://schemas.openxmlformats.org/markup-compatibility/2006">
      <mc:Choice xmlns:a14="http://schemas.microsoft.com/office/drawing/2010/main" Requires="a14">
        <xdr:graphicFrame macro="">
          <xdr:nvGraphicFramePr>
            <xdr:cNvPr id="3" name="Id Order">
              <a:extLst>
                <a:ext uri="{FF2B5EF4-FFF2-40B4-BE49-F238E27FC236}">
                  <a16:creationId xmlns:a16="http://schemas.microsoft.com/office/drawing/2014/main" id="{FD1085F3-616C-4D40-8769-492AE4985FF1}"/>
                </a:ext>
              </a:extLst>
            </xdr:cNvPr>
            <xdr:cNvGraphicFramePr/>
          </xdr:nvGraphicFramePr>
          <xdr:xfrm>
            <a:off x="0" y="0"/>
            <a:ext cx="0" cy="0"/>
          </xdr:xfrm>
          <a:graphic>
            <a:graphicData uri="http://schemas.microsoft.com/office/drawing/2010/slicer">
              <sle:slicer xmlns:sle="http://schemas.microsoft.com/office/drawing/2010/slicer" name="Id Order"/>
            </a:graphicData>
          </a:graphic>
        </xdr:graphicFrame>
      </mc:Choice>
      <mc:Fallback>
        <xdr:sp macro="" textlink="">
          <xdr:nvSpPr>
            <xdr:cNvPr id="0" name=""/>
            <xdr:cNvSpPr>
              <a:spLocks noTextEdit="1"/>
            </xdr:cNvSpPr>
          </xdr:nvSpPr>
          <xdr:spPr>
            <a:xfrm>
              <a:off x="31750" y="7175500"/>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831850</xdr:colOff>
      <xdr:row>38</xdr:row>
      <xdr:rowOff>177800</xdr:rowOff>
    </xdr:from>
    <xdr:to>
      <xdr:col>4</xdr:col>
      <xdr:colOff>266700</xdr:colOff>
      <xdr:row>52</xdr:row>
      <xdr:rowOff>123825</xdr:rowOff>
    </xdr:to>
    <mc:AlternateContent xmlns:mc="http://schemas.openxmlformats.org/markup-compatibility/2006">
      <mc:Choice xmlns:a14="http://schemas.microsoft.com/office/drawing/2010/main" Requires="a14">
        <xdr:graphicFrame macro="">
          <xdr:nvGraphicFramePr>
            <xdr:cNvPr id="4" name="Barang">
              <a:extLst>
                <a:ext uri="{FF2B5EF4-FFF2-40B4-BE49-F238E27FC236}">
                  <a16:creationId xmlns:a16="http://schemas.microsoft.com/office/drawing/2014/main" id="{74217C5A-4A7F-4B6D-9E42-7BAE4D242C06}"/>
                </a:ext>
              </a:extLst>
            </xdr:cNvPr>
            <xdr:cNvGraphicFramePr/>
          </xdr:nvGraphicFramePr>
          <xdr:xfrm>
            <a:off x="0" y="0"/>
            <a:ext cx="0" cy="0"/>
          </xdr:xfrm>
          <a:graphic>
            <a:graphicData uri="http://schemas.microsoft.com/office/drawing/2010/slicer">
              <sle:slicer xmlns:sle="http://schemas.microsoft.com/office/drawing/2010/slicer" name="Barang"/>
            </a:graphicData>
          </a:graphic>
        </xdr:graphicFrame>
      </mc:Choice>
      <mc:Fallback>
        <xdr:sp macro="" textlink="">
          <xdr:nvSpPr>
            <xdr:cNvPr id="0" name=""/>
            <xdr:cNvSpPr>
              <a:spLocks noTextEdit="1"/>
            </xdr:cNvSpPr>
          </xdr:nvSpPr>
          <xdr:spPr>
            <a:xfrm>
              <a:off x="2190750" y="7175500"/>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6350</xdr:colOff>
      <xdr:row>39</xdr:row>
      <xdr:rowOff>6350</xdr:rowOff>
    </xdr:from>
    <xdr:to>
      <xdr:col>8</xdr:col>
      <xdr:colOff>6350</xdr:colOff>
      <xdr:row>52</xdr:row>
      <xdr:rowOff>136525</xdr:rowOff>
    </xdr:to>
    <mc:AlternateContent xmlns:mc="http://schemas.openxmlformats.org/markup-compatibility/2006">
      <mc:Choice xmlns:a14="http://schemas.microsoft.com/office/drawing/2010/main" Requires="a14">
        <xdr:graphicFrame macro="">
          <xdr:nvGraphicFramePr>
            <xdr:cNvPr id="5" name="Suplier Toko">
              <a:extLst>
                <a:ext uri="{FF2B5EF4-FFF2-40B4-BE49-F238E27FC236}">
                  <a16:creationId xmlns:a16="http://schemas.microsoft.com/office/drawing/2014/main" id="{AE900754-B014-4B08-A899-C9F0D6A9CB1E}"/>
                </a:ext>
              </a:extLst>
            </xdr:cNvPr>
            <xdr:cNvGraphicFramePr/>
          </xdr:nvGraphicFramePr>
          <xdr:xfrm>
            <a:off x="0" y="0"/>
            <a:ext cx="0" cy="0"/>
          </xdr:xfrm>
          <a:graphic>
            <a:graphicData uri="http://schemas.microsoft.com/office/drawing/2010/slicer">
              <sle:slicer xmlns:sle="http://schemas.microsoft.com/office/drawing/2010/slicer" name="Suplier Toko"/>
            </a:graphicData>
          </a:graphic>
        </xdr:graphicFrame>
      </mc:Choice>
      <mc:Fallback>
        <xdr:sp macro="" textlink="">
          <xdr:nvSpPr>
            <xdr:cNvPr id="0" name=""/>
            <xdr:cNvSpPr>
              <a:spLocks noTextEdit="1"/>
            </xdr:cNvSpPr>
          </xdr:nvSpPr>
          <xdr:spPr>
            <a:xfrm>
              <a:off x="4368800" y="7188200"/>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266700</xdr:colOff>
      <xdr:row>39</xdr:row>
      <xdr:rowOff>31750</xdr:rowOff>
    </xdr:from>
    <xdr:to>
      <xdr:col>12</xdr:col>
      <xdr:colOff>546100</xdr:colOff>
      <xdr:row>52</xdr:row>
      <xdr:rowOff>161925</xdr:rowOff>
    </xdr:to>
    <mc:AlternateContent xmlns:mc="http://schemas.openxmlformats.org/markup-compatibility/2006">
      <mc:Choice xmlns:a14="http://schemas.microsoft.com/office/drawing/2010/main" Requires="a14">
        <xdr:graphicFrame macro="">
          <xdr:nvGraphicFramePr>
            <xdr:cNvPr id="6" name="Jumlah">
              <a:extLst>
                <a:ext uri="{FF2B5EF4-FFF2-40B4-BE49-F238E27FC236}">
                  <a16:creationId xmlns:a16="http://schemas.microsoft.com/office/drawing/2014/main" id="{63F52C48-D3CC-431D-9276-7E2E81C479C3}"/>
                </a:ext>
              </a:extLst>
            </xdr:cNvPr>
            <xdr:cNvGraphicFramePr/>
          </xdr:nvGraphicFramePr>
          <xdr:xfrm>
            <a:off x="0" y="0"/>
            <a:ext cx="0" cy="0"/>
          </xdr:xfrm>
          <a:graphic>
            <a:graphicData uri="http://schemas.microsoft.com/office/drawing/2010/slicer">
              <sle:slicer xmlns:sle="http://schemas.microsoft.com/office/drawing/2010/slicer" name="Jumlah"/>
            </a:graphicData>
          </a:graphic>
        </xdr:graphicFrame>
      </mc:Choice>
      <mc:Fallback>
        <xdr:sp macro="" textlink="">
          <xdr:nvSpPr>
            <xdr:cNvPr id="0" name=""/>
            <xdr:cNvSpPr>
              <a:spLocks noTextEdit="1"/>
            </xdr:cNvSpPr>
          </xdr:nvSpPr>
          <xdr:spPr>
            <a:xfrm>
              <a:off x="8585200" y="7213600"/>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736600</xdr:colOff>
      <xdr:row>39</xdr:row>
      <xdr:rowOff>38100</xdr:rowOff>
    </xdr:from>
    <xdr:to>
      <xdr:col>15</xdr:col>
      <xdr:colOff>241300</xdr:colOff>
      <xdr:row>52</xdr:row>
      <xdr:rowOff>168275</xdr:rowOff>
    </xdr:to>
    <mc:AlternateContent xmlns:mc="http://schemas.openxmlformats.org/markup-compatibility/2006">
      <mc:Choice xmlns:a14="http://schemas.microsoft.com/office/drawing/2010/main" Requires="a14">
        <xdr:graphicFrame macro="">
          <xdr:nvGraphicFramePr>
            <xdr:cNvPr id="7" name="Harga">
              <a:extLst>
                <a:ext uri="{FF2B5EF4-FFF2-40B4-BE49-F238E27FC236}">
                  <a16:creationId xmlns:a16="http://schemas.microsoft.com/office/drawing/2014/main" id="{298030A9-201D-4FF0-8F88-A794667822C6}"/>
                </a:ext>
              </a:extLst>
            </xdr:cNvPr>
            <xdr:cNvGraphicFramePr/>
          </xdr:nvGraphicFramePr>
          <xdr:xfrm>
            <a:off x="0" y="0"/>
            <a:ext cx="0" cy="0"/>
          </xdr:xfrm>
          <a:graphic>
            <a:graphicData uri="http://schemas.microsoft.com/office/drawing/2010/slicer">
              <sle:slicer xmlns:sle="http://schemas.microsoft.com/office/drawing/2010/slicer" name="Harga"/>
            </a:graphicData>
          </a:graphic>
        </xdr:graphicFrame>
      </mc:Choice>
      <mc:Fallback>
        <xdr:sp macro="" textlink="">
          <xdr:nvSpPr>
            <xdr:cNvPr id="0" name=""/>
            <xdr:cNvSpPr>
              <a:spLocks noTextEdit="1"/>
            </xdr:cNvSpPr>
          </xdr:nvSpPr>
          <xdr:spPr>
            <a:xfrm>
              <a:off x="10604500" y="7219950"/>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279400</xdr:colOff>
      <xdr:row>39</xdr:row>
      <xdr:rowOff>38100</xdr:rowOff>
    </xdr:from>
    <xdr:to>
      <xdr:col>9</xdr:col>
      <xdr:colOff>1270000</xdr:colOff>
      <xdr:row>52</xdr:row>
      <xdr:rowOff>168275</xdr:rowOff>
    </xdr:to>
    <mc:AlternateContent xmlns:mc="http://schemas.openxmlformats.org/markup-compatibility/2006">
      <mc:Choice xmlns:a14="http://schemas.microsoft.com/office/drawing/2010/main" Requires="a14">
        <xdr:graphicFrame macro="">
          <xdr:nvGraphicFramePr>
            <xdr:cNvPr id="8" name="Total">
              <a:extLst>
                <a:ext uri="{FF2B5EF4-FFF2-40B4-BE49-F238E27FC236}">
                  <a16:creationId xmlns:a16="http://schemas.microsoft.com/office/drawing/2014/main" id="{679A9EAF-1236-4434-998D-34915B5CDB50}"/>
                </a:ext>
              </a:extLst>
            </xdr:cNvPr>
            <xdr:cNvGraphicFramePr/>
          </xdr:nvGraphicFramePr>
          <xdr:xfrm>
            <a:off x="0" y="0"/>
            <a:ext cx="0" cy="0"/>
          </xdr:xfrm>
          <a:graphic>
            <a:graphicData uri="http://schemas.microsoft.com/office/drawing/2010/slicer">
              <sle:slicer xmlns:sle="http://schemas.microsoft.com/office/drawing/2010/slicer" name="Total"/>
            </a:graphicData>
          </a:graphic>
        </xdr:graphicFrame>
      </mc:Choice>
      <mc:Fallback>
        <xdr:sp macro="" textlink="">
          <xdr:nvSpPr>
            <xdr:cNvPr id="0" name=""/>
            <xdr:cNvSpPr>
              <a:spLocks noTextEdit="1"/>
            </xdr:cNvSpPr>
          </xdr:nvSpPr>
          <xdr:spPr>
            <a:xfrm>
              <a:off x="6470650" y="7219950"/>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B 2" refreshedDate="46042.408398842592" createdVersion="6" refreshedVersion="6" minRefreshableVersion="3" recordCount="27" xr:uid="{00000000-000A-0000-FFFF-FFFF05000000}">
  <cacheSource type="worksheet">
    <worksheetSource ref="A1:J28" sheet="Sheet1"/>
  </cacheSource>
  <cacheFields count="10">
    <cacheField name="Id Order" numFmtId="0">
      <sharedItems containsSemiMixedTypes="0" containsString="0" containsNumber="1" containsInteger="1" minValue="42005" maxValue="42136" count="26">
        <n v="42005"/>
        <n v="42010"/>
        <n v="42022"/>
        <n v="42026"/>
        <n v="42033"/>
        <n v="42039"/>
        <n v="42041"/>
        <n v="42049"/>
        <n v="42053"/>
        <n v="42057"/>
        <n v="42061"/>
        <n v="42066"/>
        <n v="42071"/>
        <n v="42076"/>
        <n v="42082"/>
        <n v="42085"/>
        <n v="42089"/>
        <n v="42095"/>
        <n v="42014"/>
        <n v="42109"/>
        <n v="42110"/>
        <n v="42116"/>
        <n v="42123"/>
        <n v="42128"/>
        <n v="42131"/>
        <n v="42136"/>
      </sharedItems>
    </cacheField>
    <cacheField name="Tanggal" numFmtId="14">
      <sharedItems containsSemiMixedTypes="0" containsNonDate="0" containsDate="1" containsString="0" minDate="2021-01-06T00:00:00" maxDate="2022-05-13T00:00:00"/>
    </cacheField>
    <cacheField name="Barang" numFmtId="0">
      <sharedItems count="6">
        <s v="Cabai"/>
        <s v="Kunyit"/>
        <s v="Bawang Merah"/>
        <s v="Bawang Putih"/>
        <s v="Kencur"/>
        <s v="Jahe"/>
      </sharedItems>
    </cacheField>
    <cacheField name="Suplier Toko" numFmtId="0">
      <sharedItems count="3">
        <s v="Laris"/>
        <s v="Satu"/>
        <s v="Sumber Rezeki"/>
      </sharedItems>
    </cacheField>
    <cacheField name="Bulan" numFmtId="0">
      <sharedItems/>
    </cacheField>
    <cacheField name="Tahun" numFmtId="0">
      <sharedItems containsSemiMixedTypes="0" containsString="0" containsNumber="1" containsInteger="1" minValue="2021" maxValue="2022" count="2">
        <n v="2022"/>
        <n v="2021"/>
      </sharedItems>
    </cacheField>
    <cacheField name="Kuartal" numFmtId="0">
      <sharedItems count="2">
        <s v="Q1"/>
        <s v="Q2"/>
      </sharedItems>
    </cacheField>
    <cacheField name="Jumlah" numFmtId="0">
      <sharedItems containsSemiMixedTypes="0" containsString="0" containsNumber="1" containsInteger="1" minValue="59" maxValue="198" count="25">
        <n v="60"/>
        <n v="77"/>
        <n v="86"/>
        <n v="151"/>
        <n v="164"/>
        <n v="59"/>
        <n v="97"/>
        <n v="159"/>
        <n v="190"/>
        <n v="91"/>
        <n v="198"/>
        <n v="161"/>
        <n v="167"/>
        <n v="153"/>
        <n v="145"/>
        <n v="180"/>
        <n v="71"/>
        <n v="140"/>
        <n v="157"/>
        <n v="116"/>
        <n v="65"/>
        <n v="193"/>
        <n v="143"/>
        <n v="93"/>
        <n v="102"/>
      </sharedItems>
    </cacheField>
    <cacheField name="Harga" numFmtId="164">
      <sharedItems containsSemiMixedTypes="0" containsString="0" containsNumber="1" containsInteger="1" minValue="8424" maxValue="203122" count="27">
        <n v="30050"/>
        <n v="12464"/>
        <n v="28375"/>
        <n v="203122"/>
        <n v="9285"/>
        <n v="24329"/>
        <n v="32088"/>
        <n v="9897"/>
        <n v="27756"/>
        <n v="20470"/>
        <n v="8424"/>
        <n v="21251"/>
        <n v="27534"/>
        <n v="9731"/>
        <n v="24292"/>
        <n v="23823"/>
        <n v="9233"/>
        <n v="21775"/>
        <n v="26469"/>
        <n v="9893"/>
        <n v="28908"/>
        <n v="22916"/>
        <n v="9136"/>
        <n v="22102"/>
        <n v="27625"/>
        <n v="11779"/>
        <n v="26415"/>
      </sharedItems>
    </cacheField>
    <cacheField name="Total" numFmtId="164">
      <sharedItems containsSemiMixedTypes="0" containsString="0" containsNumber="1" containsInteger="1" minValue="353328" maxValue="5273640" count="27">
        <n v="1803000"/>
        <n v="959728"/>
        <n v="2440250"/>
        <n v="3067112"/>
        <n v="1522740"/>
        <n v="1435411"/>
        <n v="3112536"/>
        <n v="1573623"/>
        <n v="5273640"/>
        <n v="1862770"/>
        <n v="1667952"/>
        <n v="3421411"/>
        <n v="4598178"/>
        <n v="1488843"/>
        <n v="3522340"/>
        <n v="2048778"/>
        <n v="1661940"/>
        <n v="1546025"/>
        <n v="3705660"/>
        <n v="1553201"/>
        <n v="353328"/>
        <n v="1489540"/>
        <n v="1763248"/>
        <n v="3160586"/>
        <n v="2569125"/>
        <n v="1201458"/>
        <n v="2562255"/>
      </sharedItems>
    </cacheField>
  </cacheFields>
  <extLst>
    <ext xmlns:x14="http://schemas.microsoft.com/office/spreadsheetml/2009/9/main" uri="{725AE2AE-9491-48be-B2B4-4EB974FC3084}">
      <x14:pivotCacheDefinition pivotCacheId="8564608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x v="0"/>
    <d v="2022-01-01T00:00:00"/>
    <x v="0"/>
    <x v="0"/>
    <s v="Jan"/>
    <x v="0"/>
    <x v="0"/>
    <x v="0"/>
    <x v="0"/>
    <x v="0"/>
  </r>
  <r>
    <x v="1"/>
    <d v="2021-01-06T00:00:00"/>
    <x v="1"/>
    <x v="0"/>
    <s v="Jan"/>
    <x v="1"/>
    <x v="0"/>
    <x v="1"/>
    <x v="1"/>
    <x v="1"/>
  </r>
  <r>
    <x v="2"/>
    <d v="2022-01-11T00:00:00"/>
    <x v="2"/>
    <x v="1"/>
    <s v="Jan"/>
    <x v="0"/>
    <x v="0"/>
    <x v="2"/>
    <x v="2"/>
    <x v="2"/>
  </r>
  <r>
    <x v="2"/>
    <d v="2022-01-18T00:00:00"/>
    <x v="3"/>
    <x v="2"/>
    <s v="Jan"/>
    <x v="0"/>
    <x v="0"/>
    <x v="3"/>
    <x v="3"/>
    <x v="3"/>
  </r>
  <r>
    <x v="3"/>
    <d v="2022-01-22T00:00:00"/>
    <x v="4"/>
    <x v="0"/>
    <s v="Jan"/>
    <x v="1"/>
    <x v="0"/>
    <x v="4"/>
    <x v="4"/>
    <x v="4"/>
  </r>
  <r>
    <x v="4"/>
    <d v="2022-01-29T00:00:00"/>
    <x v="5"/>
    <x v="2"/>
    <s v="Jan"/>
    <x v="0"/>
    <x v="0"/>
    <x v="5"/>
    <x v="5"/>
    <x v="5"/>
  </r>
  <r>
    <x v="5"/>
    <d v="2022-02-04T00:00:00"/>
    <x v="0"/>
    <x v="0"/>
    <s v="Feb"/>
    <x v="0"/>
    <x v="0"/>
    <x v="6"/>
    <x v="6"/>
    <x v="6"/>
  </r>
  <r>
    <x v="6"/>
    <d v="2022-02-06T00:00:00"/>
    <x v="1"/>
    <x v="0"/>
    <s v="Feb"/>
    <x v="0"/>
    <x v="0"/>
    <x v="7"/>
    <x v="7"/>
    <x v="7"/>
  </r>
  <r>
    <x v="7"/>
    <d v="2021-02-14T00:00:00"/>
    <x v="2"/>
    <x v="1"/>
    <s v="Feb"/>
    <x v="1"/>
    <x v="0"/>
    <x v="8"/>
    <x v="8"/>
    <x v="8"/>
  </r>
  <r>
    <x v="8"/>
    <d v="2022-02-18T00:00:00"/>
    <x v="3"/>
    <x v="0"/>
    <s v="Feb"/>
    <x v="0"/>
    <x v="0"/>
    <x v="9"/>
    <x v="9"/>
    <x v="9"/>
  </r>
  <r>
    <x v="9"/>
    <d v="2022-02-22T00:00:00"/>
    <x v="4"/>
    <x v="2"/>
    <s v="Feb"/>
    <x v="0"/>
    <x v="0"/>
    <x v="10"/>
    <x v="10"/>
    <x v="10"/>
  </r>
  <r>
    <x v="10"/>
    <d v="2022-02-26T00:00:00"/>
    <x v="5"/>
    <x v="1"/>
    <s v="Feb"/>
    <x v="0"/>
    <x v="0"/>
    <x v="11"/>
    <x v="11"/>
    <x v="11"/>
  </r>
  <r>
    <x v="11"/>
    <d v="2022-03-03T00:00:00"/>
    <x v="0"/>
    <x v="1"/>
    <s v="Maret"/>
    <x v="0"/>
    <x v="0"/>
    <x v="12"/>
    <x v="12"/>
    <x v="12"/>
  </r>
  <r>
    <x v="12"/>
    <d v="2022-03-08T00:00:00"/>
    <x v="1"/>
    <x v="0"/>
    <s v="Maret"/>
    <x v="0"/>
    <x v="0"/>
    <x v="13"/>
    <x v="13"/>
    <x v="13"/>
  </r>
  <r>
    <x v="13"/>
    <d v="2022-03-13T00:00:00"/>
    <x v="2"/>
    <x v="2"/>
    <s v="Maret"/>
    <x v="0"/>
    <x v="0"/>
    <x v="14"/>
    <x v="14"/>
    <x v="14"/>
  </r>
  <r>
    <x v="14"/>
    <d v="2022-03-19T00:00:00"/>
    <x v="3"/>
    <x v="0"/>
    <s v="Maret"/>
    <x v="0"/>
    <x v="0"/>
    <x v="2"/>
    <x v="15"/>
    <x v="15"/>
  </r>
  <r>
    <x v="15"/>
    <d v="2022-03-22T00:00:00"/>
    <x v="4"/>
    <x v="2"/>
    <s v="Maret"/>
    <x v="0"/>
    <x v="0"/>
    <x v="15"/>
    <x v="16"/>
    <x v="16"/>
  </r>
  <r>
    <x v="16"/>
    <d v="2021-03-26T00:00:00"/>
    <x v="5"/>
    <x v="2"/>
    <s v="Maret"/>
    <x v="1"/>
    <x v="0"/>
    <x v="16"/>
    <x v="17"/>
    <x v="17"/>
  </r>
  <r>
    <x v="17"/>
    <d v="2022-04-01T00:00:00"/>
    <x v="0"/>
    <x v="0"/>
    <s v="Apr"/>
    <x v="0"/>
    <x v="1"/>
    <x v="17"/>
    <x v="18"/>
    <x v="18"/>
  </r>
  <r>
    <x v="18"/>
    <d v="2021-04-10T00:00:00"/>
    <x v="1"/>
    <x v="2"/>
    <s v="Apr"/>
    <x v="1"/>
    <x v="1"/>
    <x v="18"/>
    <x v="19"/>
    <x v="19"/>
  </r>
  <r>
    <x v="19"/>
    <d v="2021-04-15T00:00:00"/>
    <x v="2"/>
    <x v="2"/>
    <s v="Apr"/>
    <x v="1"/>
    <x v="1"/>
    <x v="19"/>
    <x v="20"/>
    <x v="20"/>
  </r>
  <r>
    <x v="20"/>
    <d v="2022-04-16T00:00:00"/>
    <x v="3"/>
    <x v="1"/>
    <s v="Apr"/>
    <x v="0"/>
    <x v="1"/>
    <x v="20"/>
    <x v="21"/>
    <x v="21"/>
  </r>
  <r>
    <x v="21"/>
    <d v="2022-04-22T00:00:00"/>
    <x v="4"/>
    <x v="1"/>
    <s v="Apr"/>
    <x v="0"/>
    <x v="1"/>
    <x v="21"/>
    <x v="22"/>
    <x v="22"/>
  </r>
  <r>
    <x v="22"/>
    <d v="2022-04-29T00:00:00"/>
    <x v="5"/>
    <x v="1"/>
    <s v="Apr"/>
    <x v="0"/>
    <x v="1"/>
    <x v="22"/>
    <x v="23"/>
    <x v="23"/>
  </r>
  <r>
    <x v="23"/>
    <d v="2022-05-04T00:00:00"/>
    <x v="0"/>
    <x v="2"/>
    <s v="May"/>
    <x v="0"/>
    <x v="1"/>
    <x v="23"/>
    <x v="24"/>
    <x v="24"/>
  </r>
  <r>
    <x v="24"/>
    <d v="2021-05-07T00:00:00"/>
    <x v="1"/>
    <x v="2"/>
    <s v="May"/>
    <x v="1"/>
    <x v="1"/>
    <x v="24"/>
    <x v="25"/>
    <x v="25"/>
  </r>
  <r>
    <x v="25"/>
    <d v="2022-05-12T00:00:00"/>
    <x v="2"/>
    <x v="2"/>
    <s v="May"/>
    <x v="0"/>
    <x v="1"/>
    <x v="6"/>
    <x v="26"/>
    <x v="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4"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1" rowHeaderCaption="">
  <location ref="L3:P11" firstHeaderRow="1" firstDataRow="2" firstDataCol="1" rowPageCount="1" colPageCount="1"/>
  <pivotFields count="10">
    <pivotField showAll="0">
      <items count="27">
        <item x="0"/>
        <item x="1"/>
        <item x="18"/>
        <item x="2"/>
        <item x="3"/>
        <item x="4"/>
        <item x="5"/>
        <item x="6"/>
        <item x="7"/>
        <item x="8"/>
        <item x="9"/>
        <item x="10"/>
        <item x="11"/>
        <item x="12"/>
        <item x="13"/>
        <item x="14"/>
        <item x="15"/>
        <item x="16"/>
        <item x="17"/>
        <item x="19"/>
        <item x="20"/>
        <item x="21"/>
        <item x="22"/>
        <item x="23"/>
        <item x="24"/>
        <item x="25"/>
        <item t="default"/>
      </items>
    </pivotField>
    <pivotField numFmtId="14" showAll="0"/>
    <pivotField axis="axisRow" showAll="0">
      <items count="7">
        <item x="2"/>
        <item x="3"/>
        <item x="0"/>
        <item x="5"/>
        <item x="4"/>
        <item x="1"/>
        <item t="default"/>
      </items>
    </pivotField>
    <pivotField axis="axisCol" showAll="0">
      <items count="4">
        <item x="0"/>
        <item x="1"/>
        <item x="2"/>
        <item t="default"/>
      </items>
    </pivotField>
    <pivotField showAll="0"/>
    <pivotField axis="axisPage" showAll="0">
      <items count="3">
        <item x="1"/>
        <item x="0"/>
        <item t="default"/>
      </items>
    </pivotField>
    <pivotField showAll="0">
      <items count="3">
        <item x="0"/>
        <item x="1"/>
        <item t="default"/>
      </items>
    </pivotField>
    <pivotField dataField="1" showAll="0">
      <items count="26">
        <item x="5"/>
        <item x="0"/>
        <item x="20"/>
        <item x="16"/>
        <item x="1"/>
        <item x="2"/>
        <item x="9"/>
        <item x="23"/>
        <item x="6"/>
        <item x="24"/>
        <item x="19"/>
        <item x="17"/>
        <item x="22"/>
        <item x="14"/>
        <item x="3"/>
        <item x="13"/>
        <item x="18"/>
        <item x="7"/>
        <item x="11"/>
        <item x="4"/>
        <item x="12"/>
        <item x="15"/>
        <item x="8"/>
        <item x="21"/>
        <item x="10"/>
        <item t="default"/>
      </items>
    </pivotField>
    <pivotField numFmtId="164" showAll="0">
      <items count="28">
        <item x="10"/>
        <item x="22"/>
        <item x="16"/>
        <item x="4"/>
        <item x="13"/>
        <item x="19"/>
        <item x="7"/>
        <item x="25"/>
        <item x="1"/>
        <item x="9"/>
        <item x="11"/>
        <item x="17"/>
        <item x="23"/>
        <item x="21"/>
        <item x="15"/>
        <item x="14"/>
        <item x="5"/>
        <item x="26"/>
        <item x="18"/>
        <item x="12"/>
        <item x="24"/>
        <item x="8"/>
        <item x="2"/>
        <item x="20"/>
        <item x="0"/>
        <item x="6"/>
        <item x="3"/>
        <item t="default"/>
      </items>
    </pivotField>
    <pivotField numFmtId="164" showAll="0">
      <items count="28">
        <item x="20"/>
        <item x="1"/>
        <item x="25"/>
        <item x="5"/>
        <item x="13"/>
        <item x="21"/>
        <item x="4"/>
        <item x="17"/>
        <item x="19"/>
        <item x="7"/>
        <item x="16"/>
        <item x="10"/>
        <item x="22"/>
        <item x="0"/>
        <item x="9"/>
        <item x="15"/>
        <item x="2"/>
        <item x="26"/>
        <item x="24"/>
        <item x="3"/>
        <item x="6"/>
        <item x="23"/>
        <item x="11"/>
        <item x="14"/>
        <item x="18"/>
        <item x="12"/>
        <item x="8"/>
        <item t="default"/>
      </items>
    </pivotField>
  </pivotFields>
  <rowFields count="1">
    <field x="2"/>
  </rowFields>
  <rowItems count="7">
    <i>
      <x/>
    </i>
    <i>
      <x v="1"/>
    </i>
    <i>
      <x v="2"/>
    </i>
    <i>
      <x v="3"/>
    </i>
    <i>
      <x v="4"/>
    </i>
    <i>
      <x v="5"/>
    </i>
    <i t="grand">
      <x/>
    </i>
  </rowItems>
  <colFields count="1">
    <field x="3"/>
  </colFields>
  <colItems count="4">
    <i>
      <x/>
    </i>
    <i>
      <x v="1"/>
    </i>
    <i>
      <x v="2"/>
    </i>
    <i t="grand">
      <x/>
    </i>
  </colItems>
  <pageFields count="1">
    <pageField fld="5" hier="-1"/>
  </pageFields>
  <dataFields count="1">
    <dataField name="Sum of Jumlah" fld="7" baseField="0" baseItem="0"/>
  </dataFields>
  <chartFormats count="3">
    <chartFormat chart="0" format="6" series="1">
      <pivotArea type="data" outline="0" fieldPosition="0">
        <references count="2">
          <reference field="4294967294" count="1" selected="0">
            <x v="0"/>
          </reference>
          <reference field="3" count="1" selected="0">
            <x v="0"/>
          </reference>
        </references>
      </pivotArea>
    </chartFormat>
    <chartFormat chart="0" format="7" series="1">
      <pivotArea type="data" outline="0" fieldPosition="0">
        <references count="2">
          <reference field="4294967294" count="1" selected="0">
            <x v="0"/>
          </reference>
          <reference field="3" count="1" selected="0">
            <x v="1"/>
          </reference>
        </references>
      </pivotArea>
    </chartFormat>
    <chartFormat chart="0"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d_Order" xr10:uid="{4091150B-3DBC-48A6-96F2-47B6C6349FBA}" sourceName="Id Order">
  <pivotTables>
    <pivotTable tabId="1" name="PivotTable1"/>
  </pivotTables>
  <data>
    <tabular pivotCacheId="856460890">
      <items count="26">
        <i x="0" s="1"/>
        <i x="1" s="1"/>
        <i x="18" s="1"/>
        <i x="2" s="1"/>
        <i x="3" s="1"/>
        <i x="4" s="1"/>
        <i x="5" s="1"/>
        <i x="6" s="1"/>
        <i x="7" s="1"/>
        <i x="8" s="1"/>
        <i x="9" s="1"/>
        <i x="10" s="1"/>
        <i x="11" s="1"/>
        <i x="12" s="1"/>
        <i x="13" s="1"/>
        <i x="14" s="1"/>
        <i x="15" s="1"/>
        <i x="16" s="1"/>
        <i x="17" s="1"/>
        <i x="19" s="1"/>
        <i x="20" s="1"/>
        <i x="21" s="1"/>
        <i x="22" s="1"/>
        <i x="23" s="1"/>
        <i x="24" s="1"/>
        <i x="2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rang" xr10:uid="{C429BA24-6170-4C8F-8633-420F77C021B8}" sourceName="Barang">
  <pivotTables>
    <pivotTable tabId="1" name="PivotTable1"/>
  </pivotTables>
  <data>
    <tabular pivotCacheId="856460890">
      <items count="6">
        <i x="2" s="1"/>
        <i x="3" s="1"/>
        <i x="0" s="1"/>
        <i x="5" s="1"/>
        <i x="4"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umlah" xr10:uid="{2D1A2BFA-67C7-4134-84EA-8E5DE9C1C43F}" sourceName="Jumlah">
  <pivotTables>
    <pivotTable tabId="1" name="PivotTable1"/>
  </pivotTables>
  <data>
    <tabular pivotCacheId="856460890">
      <items count="25">
        <i x="5" s="1"/>
        <i x="0" s="1"/>
        <i x="20" s="1"/>
        <i x="16" s="1"/>
        <i x="1" s="1"/>
        <i x="2" s="1"/>
        <i x="9" s="1"/>
        <i x="23" s="1"/>
        <i x="6" s="1"/>
        <i x="24" s="1"/>
        <i x="19" s="1"/>
        <i x="17" s="1"/>
        <i x="22" s="1"/>
        <i x="14" s="1"/>
        <i x="3" s="1"/>
        <i x="13" s="1"/>
        <i x="18" s="1"/>
        <i x="7" s="1"/>
        <i x="11" s="1"/>
        <i x="4" s="1"/>
        <i x="12" s="1"/>
        <i x="15" s="1"/>
        <i x="8" s="1"/>
        <i x="21" s="1"/>
        <i x="1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rga" xr10:uid="{64B87075-1CDE-4A2A-B64B-EB520CA3D7DA}" sourceName="Harga">
  <pivotTables>
    <pivotTable tabId="1" name="PivotTable1"/>
  </pivotTables>
  <data>
    <tabular pivotCacheId="856460890">
      <items count="27">
        <i x="10" s="1"/>
        <i x="22" s="1"/>
        <i x="16" s="1"/>
        <i x="4" s="1"/>
        <i x="13" s="1"/>
        <i x="19" s="1"/>
        <i x="7" s="1"/>
        <i x="25" s="1"/>
        <i x="1" s="1"/>
        <i x="9" s="1"/>
        <i x="11" s="1"/>
        <i x="17" s="1"/>
        <i x="23" s="1"/>
        <i x="21" s="1"/>
        <i x="15" s="1"/>
        <i x="14" s="1"/>
        <i x="5" s="1"/>
        <i x="26" s="1"/>
        <i x="18" s="1"/>
        <i x="12" s="1"/>
        <i x="24" s="1"/>
        <i x="8" s="1"/>
        <i x="2" s="1"/>
        <i x="20" s="1"/>
        <i x="0" s="1"/>
        <i x="6"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 xr10:uid="{EF9AE91E-38BC-460C-A46C-CC1AD694808B}" sourceName="Total">
  <pivotTables>
    <pivotTable tabId="1" name="PivotTable1"/>
  </pivotTables>
  <data>
    <tabular pivotCacheId="856460890">
      <items count="27">
        <i x="20" s="1"/>
        <i x="1" s="1"/>
        <i x="25" s="1"/>
        <i x="5" s="1"/>
        <i x="13" s="1"/>
        <i x="21" s="1"/>
        <i x="4" s="1"/>
        <i x="17" s="1"/>
        <i x="19" s="1"/>
        <i x="7" s="1"/>
        <i x="16" s="1"/>
        <i x="10" s="1"/>
        <i x="22" s="1"/>
        <i x="0" s="1"/>
        <i x="9" s="1"/>
        <i x="15" s="1"/>
        <i x="2" s="1"/>
        <i x="26" s="1"/>
        <i x="24" s="1"/>
        <i x="3" s="1"/>
        <i x="6" s="1"/>
        <i x="23" s="1"/>
        <i x="11" s="1"/>
        <i x="14" s="1"/>
        <i x="18" s="1"/>
        <i x="12" s="1"/>
        <i x="8"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lier_Toko" xr10:uid="{96DC5AAB-74D7-4A51-9E84-3FF5A49D40B5}" sourceName="Suplier Toko">
  <pivotTables>
    <pivotTable tabId="1" name="PivotTable1"/>
  </pivotTables>
  <data>
    <tabular pivotCacheId="85646089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d Order" xr10:uid="{DB9D0E20-B564-4F76-83BA-3DE32FAD4461}" cache="Slicer_Id_Order" caption="Id Order" rowHeight="241300"/>
  <slicer name="Barang" xr10:uid="{2EADD20C-1443-4E75-896F-DE342E1B4CD1}" cache="Slicer_Barang" caption="Barang" rowHeight="241300"/>
  <slicer name="Jumlah" xr10:uid="{3349DC59-A989-4F35-8F88-59ACC6E4ED5F}" cache="Slicer_Jumlah" caption="Jumlah" rowHeight="241300"/>
  <slicer name="Harga" xr10:uid="{CC6A85E7-9D8D-44B2-BD22-70BA287B5AB6}" cache="Slicer_Harga" caption="Harga" rowHeight="241300"/>
  <slicer name="Total" xr10:uid="{E2F36BF0-8273-4FEF-99AE-8FE167E5CB3F}" cache="Slicer_Total" caption="Total" rowHeight="241300"/>
  <slicer name="Suplier Toko" xr10:uid="{E6CA1D38-B4A5-4879-81F9-4C651F98B3D0}" cache="Slicer_Suplier_Toko" caption="Suplier Toko"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8"/>
  <sheetViews>
    <sheetView tabSelected="1" workbookViewId="0">
      <selection activeCell="M39" sqref="M39"/>
    </sheetView>
  </sheetViews>
  <sheetFormatPr defaultRowHeight="14.5" x14ac:dyDescent="0.35"/>
  <cols>
    <col min="2" max="2" width="10.7265625" customWidth="1"/>
    <col min="3" max="3" width="16" customWidth="1"/>
    <col min="4" max="4" width="18.26953125" customWidth="1"/>
    <col min="9" max="9" width="12" customWidth="1"/>
    <col min="10" max="10" width="18.453125" customWidth="1"/>
    <col min="12" max="12" width="13.453125" bestFit="1" customWidth="1"/>
    <col min="13" max="13" width="15.26953125" bestFit="1" customWidth="1"/>
    <col min="14" max="14" width="4.81640625" bestFit="1" customWidth="1"/>
    <col min="15" max="15" width="13.1796875" bestFit="1" customWidth="1"/>
    <col min="16" max="16" width="10.7265625" bestFit="1" customWidth="1"/>
  </cols>
  <sheetData>
    <row r="1" spans="1:16" x14ac:dyDescent="0.35">
      <c r="A1" s="4" t="s">
        <v>0</v>
      </c>
      <c r="B1" s="4" t="s">
        <v>1</v>
      </c>
      <c r="C1" s="4" t="s">
        <v>2</v>
      </c>
      <c r="D1" s="5" t="s">
        <v>9</v>
      </c>
      <c r="E1" s="4" t="s">
        <v>13</v>
      </c>
      <c r="F1" s="4" t="s">
        <v>19</v>
      </c>
      <c r="G1" s="4" t="s">
        <v>20</v>
      </c>
      <c r="H1" s="4" t="s">
        <v>23</v>
      </c>
      <c r="I1" s="4" t="s">
        <v>24</v>
      </c>
      <c r="J1" s="4" t="s">
        <v>25</v>
      </c>
      <c r="L1" s="7" t="s">
        <v>19</v>
      </c>
      <c r="M1" t="s">
        <v>30</v>
      </c>
    </row>
    <row r="2" spans="1:16" x14ac:dyDescent="0.35">
      <c r="A2" s="1">
        <v>42005</v>
      </c>
      <c r="B2" s="2">
        <v>44562</v>
      </c>
      <c r="C2" s="1" t="s">
        <v>3</v>
      </c>
      <c r="D2" s="1" t="s">
        <v>10</v>
      </c>
      <c r="E2" s="1" t="s">
        <v>14</v>
      </c>
      <c r="F2" s="1">
        <v>2022</v>
      </c>
      <c r="G2" s="1" t="s">
        <v>21</v>
      </c>
      <c r="H2" s="1">
        <v>60</v>
      </c>
      <c r="I2" s="3">
        <v>30050</v>
      </c>
      <c r="J2" s="3">
        <v>1803000</v>
      </c>
    </row>
    <row r="3" spans="1:16" x14ac:dyDescent="0.35">
      <c r="A3" s="1">
        <v>42010</v>
      </c>
      <c r="B3" s="2">
        <v>44202</v>
      </c>
      <c r="C3" s="1" t="s">
        <v>4</v>
      </c>
      <c r="D3" s="1" t="s">
        <v>10</v>
      </c>
      <c r="E3" s="1" t="s">
        <v>14</v>
      </c>
      <c r="F3" s="1">
        <v>2021</v>
      </c>
      <c r="G3" s="1" t="s">
        <v>21</v>
      </c>
      <c r="H3" s="1">
        <v>77</v>
      </c>
      <c r="I3" s="3">
        <v>12464</v>
      </c>
      <c r="J3" s="3">
        <v>959728</v>
      </c>
      <c r="L3" s="7" t="s">
        <v>29</v>
      </c>
      <c r="M3" s="7" t="s">
        <v>28</v>
      </c>
    </row>
    <row r="4" spans="1:16" x14ac:dyDescent="0.35">
      <c r="A4" s="1">
        <v>42022</v>
      </c>
      <c r="B4" s="2">
        <v>44572</v>
      </c>
      <c r="C4" s="1" t="s">
        <v>5</v>
      </c>
      <c r="D4" s="1" t="s">
        <v>11</v>
      </c>
      <c r="E4" s="1" t="s">
        <v>14</v>
      </c>
      <c r="F4" s="1">
        <v>2022</v>
      </c>
      <c r="G4" s="1" t="s">
        <v>21</v>
      </c>
      <c r="H4" s="1">
        <v>86</v>
      </c>
      <c r="I4" s="3">
        <v>28375</v>
      </c>
      <c r="J4" s="3">
        <v>2440250</v>
      </c>
      <c r="L4" s="7" t="s">
        <v>27</v>
      </c>
      <c r="M4" t="s">
        <v>10</v>
      </c>
      <c r="N4" t="s">
        <v>11</v>
      </c>
      <c r="O4" t="s">
        <v>12</v>
      </c>
      <c r="P4" t="s">
        <v>26</v>
      </c>
    </row>
    <row r="5" spans="1:16" x14ac:dyDescent="0.35">
      <c r="A5" s="1">
        <v>42022</v>
      </c>
      <c r="B5" s="2">
        <v>44579</v>
      </c>
      <c r="C5" s="1" t="s">
        <v>6</v>
      </c>
      <c r="D5" s="1" t="s">
        <v>12</v>
      </c>
      <c r="E5" s="1" t="s">
        <v>14</v>
      </c>
      <c r="F5" s="1">
        <v>2022</v>
      </c>
      <c r="G5" s="1" t="s">
        <v>21</v>
      </c>
      <c r="H5" s="1">
        <v>151</v>
      </c>
      <c r="I5" s="3">
        <v>203122</v>
      </c>
      <c r="J5" s="3">
        <v>3067112</v>
      </c>
      <c r="L5" s="8" t="s">
        <v>5</v>
      </c>
      <c r="M5" s="6"/>
      <c r="N5" s="6">
        <v>276</v>
      </c>
      <c r="O5" s="6">
        <v>358</v>
      </c>
      <c r="P5" s="6">
        <v>634</v>
      </c>
    </row>
    <row r="6" spans="1:16" x14ac:dyDescent="0.35">
      <c r="A6" s="1">
        <v>42026</v>
      </c>
      <c r="B6" s="2">
        <v>44583</v>
      </c>
      <c r="C6" s="1" t="s">
        <v>7</v>
      </c>
      <c r="D6" s="1" t="s">
        <v>10</v>
      </c>
      <c r="E6" s="1" t="s">
        <v>14</v>
      </c>
      <c r="F6" s="1">
        <v>2021</v>
      </c>
      <c r="G6" s="1" t="s">
        <v>21</v>
      </c>
      <c r="H6" s="1">
        <v>164</v>
      </c>
      <c r="I6" s="3">
        <v>9285</v>
      </c>
      <c r="J6" s="3">
        <v>1522740</v>
      </c>
      <c r="L6" s="8" t="s">
        <v>6</v>
      </c>
      <c r="M6" s="6">
        <v>177</v>
      </c>
      <c r="N6" s="6">
        <v>65</v>
      </c>
      <c r="O6" s="6">
        <v>151</v>
      </c>
      <c r="P6" s="6">
        <v>393</v>
      </c>
    </row>
    <row r="7" spans="1:16" x14ac:dyDescent="0.35">
      <c r="A7" s="1">
        <v>42033</v>
      </c>
      <c r="B7" s="2">
        <v>44590</v>
      </c>
      <c r="C7" s="1" t="s">
        <v>8</v>
      </c>
      <c r="D7" s="1" t="s">
        <v>12</v>
      </c>
      <c r="E7" s="1" t="s">
        <v>14</v>
      </c>
      <c r="F7" s="1">
        <v>2022</v>
      </c>
      <c r="G7" s="1" t="s">
        <v>21</v>
      </c>
      <c r="H7" s="1">
        <v>59</v>
      </c>
      <c r="I7" s="3">
        <v>24329</v>
      </c>
      <c r="J7" s="3">
        <v>1435411</v>
      </c>
      <c r="L7" s="8" t="s">
        <v>3</v>
      </c>
      <c r="M7" s="6">
        <v>297</v>
      </c>
      <c r="N7" s="6">
        <v>167</v>
      </c>
      <c r="O7" s="6">
        <v>93</v>
      </c>
      <c r="P7" s="6">
        <v>557</v>
      </c>
    </row>
    <row r="8" spans="1:16" x14ac:dyDescent="0.35">
      <c r="A8" s="1">
        <v>42039</v>
      </c>
      <c r="B8" s="2">
        <v>44596</v>
      </c>
      <c r="C8" s="1" t="s">
        <v>3</v>
      </c>
      <c r="D8" s="1" t="s">
        <v>10</v>
      </c>
      <c r="E8" s="1" t="s">
        <v>15</v>
      </c>
      <c r="F8" s="1">
        <v>2022</v>
      </c>
      <c r="G8" s="1" t="s">
        <v>21</v>
      </c>
      <c r="H8" s="1">
        <v>97</v>
      </c>
      <c r="I8" s="3">
        <v>32088</v>
      </c>
      <c r="J8" s="3">
        <v>3112536</v>
      </c>
      <c r="L8" s="8" t="s">
        <v>8</v>
      </c>
      <c r="M8" s="6"/>
      <c r="N8" s="6">
        <v>304</v>
      </c>
      <c r="O8" s="6">
        <v>130</v>
      </c>
      <c r="P8" s="6">
        <v>434</v>
      </c>
    </row>
    <row r="9" spans="1:16" x14ac:dyDescent="0.35">
      <c r="A9" s="1">
        <v>42041</v>
      </c>
      <c r="B9" s="2">
        <v>44598</v>
      </c>
      <c r="C9" s="1" t="s">
        <v>4</v>
      </c>
      <c r="D9" s="1" t="s">
        <v>10</v>
      </c>
      <c r="E9" s="1" t="s">
        <v>15</v>
      </c>
      <c r="F9" s="1">
        <v>2022</v>
      </c>
      <c r="G9" s="1" t="s">
        <v>21</v>
      </c>
      <c r="H9" s="1">
        <v>159</v>
      </c>
      <c r="I9" s="3">
        <v>9897</v>
      </c>
      <c r="J9" s="3">
        <v>1573623</v>
      </c>
      <c r="L9" s="8" t="s">
        <v>7</v>
      </c>
      <c r="M9" s="6">
        <v>164</v>
      </c>
      <c r="N9" s="6">
        <v>193</v>
      </c>
      <c r="O9" s="6">
        <v>378</v>
      </c>
      <c r="P9" s="6">
        <v>735</v>
      </c>
    </row>
    <row r="10" spans="1:16" x14ac:dyDescent="0.35">
      <c r="A10" s="1">
        <v>42049</v>
      </c>
      <c r="B10" s="2">
        <v>44241</v>
      </c>
      <c r="C10" s="1" t="s">
        <v>5</v>
      </c>
      <c r="D10" s="1" t="s">
        <v>11</v>
      </c>
      <c r="E10" s="1" t="s">
        <v>15</v>
      </c>
      <c r="F10" s="1">
        <v>2021</v>
      </c>
      <c r="G10" s="1" t="s">
        <v>21</v>
      </c>
      <c r="H10" s="1">
        <v>190</v>
      </c>
      <c r="I10" s="3">
        <v>27756</v>
      </c>
      <c r="J10" s="3">
        <v>5273640</v>
      </c>
      <c r="L10" s="8" t="s">
        <v>4</v>
      </c>
      <c r="M10" s="6">
        <v>389</v>
      </c>
      <c r="N10" s="6"/>
      <c r="O10" s="6">
        <v>259</v>
      </c>
      <c r="P10" s="6">
        <v>648</v>
      </c>
    </row>
    <row r="11" spans="1:16" x14ac:dyDescent="0.35">
      <c r="A11" s="1">
        <v>42053</v>
      </c>
      <c r="B11" s="2">
        <v>44610</v>
      </c>
      <c r="C11" s="1" t="s">
        <v>6</v>
      </c>
      <c r="D11" s="1" t="s">
        <v>10</v>
      </c>
      <c r="E11" s="1" t="s">
        <v>15</v>
      </c>
      <c r="F11" s="1">
        <v>2022</v>
      </c>
      <c r="G11" s="1" t="s">
        <v>21</v>
      </c>
      <c r="H11" s="1">
        <v>91</v>
      </c>
      <c r="I11" s="3">
        <v>20470</v>
      </c>
      <c r="J11" s="3">
        <v>1862770</v>
      </c>
      <c r="L11" s="8" t="s">
        <v>26</v>
      </c>
      <c r="M11" s="6">
        <v>1027</v>
      </c>
      <c r="N11" s="6">
        <v>1005</v>
      </c>
      <c r="O11" s="6">
        <v>1369</v>
      </c>
      <c r="P11" s="6">
        <v>3401</v>
      </c>
    </row>
    <row r="12" spans="1:16" x14ac:dyDescent="0.35">
      <c r="A12" s="1">
        <v>42057</v>
      </c>
      <c r="B12" s="2">
        <v>44614</v>
      </c>
      <c r="C12" s="1" t="s">
        <v>7</v>
      </c>
      <c r="D12" s="1" t="s">
        <v>12</v>
      </c>
      <c r="E12" s="1" t="s">
        <v>15</v>
      </c>
      <c r="F12" s="1">
        <v>2022</v>
      </c>
      <c r="G12" s="1" t="s">
        <v>21</v>
      </c>
      <c r="H12" s="1">
        <v>198</v>
      </c>
      <c r="I12" s="3">
        <v>8424</v>
      </c>
      <c r="J12" s="3">
        <v>1667952</v>
      </c>
    </row>
    <row r="13" spans="1:16" x14ac:dyDescent="0.35">
      <c r="A13" s="1">
        <v>42061</v>
      </c>
      <c r="B13" s="2">
        <v>44618</v>
      </c>
      <c r="C13" s="1" t="s">
        <v>8</v>
      </c>
      <c r="D13" s="1" t="s">
        <v>11</v>
      </c>
      <c r="E13" s="1" t="s">
        <v>15</v>
      </c>
      <c r="F13" s="1">
        <v>2022</v>
      </c>
      <c r="G13" s="1" t="s">
        <v>21</v>
      </c>
      <c r="H13" s="1">
        <v>161</v>
      </c>
      <c r="I13" s="3">
        <v>21251</v>
      </c>
      <c r="J13" s="3">
        <v>3421411</v>
      </c>
    </row>
    <row r="14" spans="1:16" x14ac:dyDescent="0.35">
      <c r="A14" s="1">
        <v>42066</v>
      </c>
      <c r="B14" s="2">
        <v>44623</v>
      </c>
      <c r="C14" s="1" t="s">
        <v>3</v>
      </c>
      <c r="D14" s="1" t="s">
        <v>11</v>
      </c>
      <c r="E14" s="1" t="s">
        <v>17</v>
      </c>
      <c r="F14" s="1">
        <v>2022</v>
      </c>
      <c r="G14" s="1" t="s">
        <v>21</v>
      </c>
      <c r="H14" s="1">
        <v>167</v>
      </c>
      <c r="I14" s="3">
        <v>27534</v>
      </c>
      <c r="J14" s="3">
        <v>4598178</v>
      </c>
    </row>
    <row r="15" spans="1:16" x14ac:dyDescent="0.35">
      <c r="A15" s="1">
        <v>42071</v>
      </c>
      <c r="B15" s="2">
        <v>44628</v>
      </c>
      <c r="C15" s="1" t="s">
        <v>4</v>
      </c>
      <c r="D15" s="1" t="s">
        <v>10</v>
      </c>
      <c r="E15" s="1" t="s">
        <v>17</v>
      </c>
      <c r="F15" s="1">
        <v>2022</v>
      </c>
      <c r="G15" s="1" t="s">
        <v>21</v>
      </c>
      <c r="H15" s="1">
        <v>153</v>
      </c>
      <c r="I15" s="3">
        <v>9731</v>
      </c>
      <c r="J15" s="3">
        <v>1488843</v>
      </c>
    </row>
    <row r="16" spans="1:16" x14ac:dyDescent="0.35">
      <c r="A16" s="1">
        <v>42076</v>
      </c>
      <c r="B16" s="2">
        <v>44633</v>
      </c>
      <c r="C16" s="1" t="s">
        <v>5</v>
      </c>
      <c r="D16" s="1" t="s">
        <v>12</v>
      </c>
      <c r="E16" s="1" t="s">
        <v>17</v>
      </c>
      <c r="F16" s="1">
        <v>2022</v>
      </c>
      <c r="G16" s="1" t="s">
        <v>21</v>
      </c>
      <c r="H16" s="1">
        <v>145</v>
      </c>
      <c r="I16" s="3">
        <v>24292</v>
      </c>
      <c r="J16" s="3">
        <v>3522340</v>
      </c>
    </row>
    <row r="17" spans="1:10" x14ac:dyDescent="0.35">
      <c r="A17" s="1">
        <v>42082</v>
      </c>
      <c r="B17" s="2">
        <v>44639</v>
      </c>
      <c r="C17" s="1" t="s">
        <v>6</v>
      </c>
      <c r="D17" s="1" t="s">
        <v>10</v>
      </c>
      <c r="E17" s="1" t="s">
        <v>17</v>
      </c>
      <c r="F17" s="1">
        <v>2022</v>
      </c>
      <c r="G17" s="1" t="s">
        <v>21</v>
      </c>
      <c r="H17" s="1">
        <v>86</v>
      </c>
      <c r="I17" s="3">
        <v>23823</v>
      </c>
      <c r="J17" s="3">
        <v>2048778</v>
      </c>
    </row>
    <row r="18" spans="1:10" x14ac:dyDescent="0.35">
      <c r="A18" s="1">
        <v>42085</v>
      </c>
      <c r="B18" s="2">
        <v>44642</v>
      </c>
      <c r="C18" s="1" t="s">
        <v>7</v>
      </c>
      <c r="D18" s="1" t="s">
        <v>12</v>
      </c>
      <c r="E18" s="1" t="s">
        <v>17</v>
      </c>
      <c r="F18" s="1">
        <v>2022</v>
      </c>
      <c r="G18" s="1" t="s">
        <v>21</v>
      </c>
      <c r="H18" s="1">
        <v>180</v>
      </c>
      <c r="I18" s="3">
        <v>9233</v>
      </c>
      <c r="J18" s="3">
        <v>1661940</v>
      </c>
    </row>
    <row r="19" spans="1:10" x14ac:dyDescent="0.35">
      <c r="A19" s="1">
        <v>42089</v>
      </c>
      <c r="B19" s="2">
        <v>44281</v>
      </c>
      <c r="C19" s="1" t="s">
        <v>8</v>
      </c>
      <c r="D19" s="1" t="s">
        <v>12</v>
      </c>
      <c r="E19" s="1" t="s">
        <v>17</v>
      </c>
      <c r="F19" s="1">
        <v>2021</v>
      </c>
      <c r="G19" s="1" t="s">
        <v>21</v>
      </c>
      <c r="H19" s="1">
        <v>71</v>
      </c>
      <c r="I19" s="3">
        <v>21775</v>
      </c>
      <c r="J19" s="3">
        <v>1546025</v>
      </c>
    </row>
    <row r="20" spans="1:10" x14ac:dyDescent="0.35">
      <c r="A20" s="1">
        <v>42095</v>
      </c>
      <c r="B20" s="2">
        <v>44652</v>
      </c>
      <c r="C20" s="1" t="s">
        <v>3</v>
      </c>
      <c r="D20" s="1" t="s">
        <v>10</v>
      </c>
      <c r="E20" s="1" t="s">
        <v>16</v>
      </c>
      <c r="F20" s="1">
        <v>2022</v>
      </c>
      <c r="G20" s="1" t="s">
        <v>22</v>
      </c>
      <c r="H20" s="1">
        <v>140</v>
      </c>
      <c r="I20" s="3">
        <v>26469</v>
      </c>
      <c r="J20" s="3">
        <v>3705660</v>
      </c>
    </row>
    <row r="21" spans="1:10" x14ac:dyDescent="0.35">
      <c r="A21" s="1">
        <v>42014</v>
      </c>
      <c r="B21" s="2">
        <v>44296</v>
      </c>
      <c r="C21" s="1" t="s">
        <v>4</v>
      </c>
      <c r="D21" s="1" t="s">
        <v>12</v>
      </c>
      <c r="E21" s="1" t="s">
        <v>16</v>
      </c>
      <c r="F21" s="1">
        <v>2021</v>
      </c>
      <c r="G21" s="1" t="s">
        <v>22</v>
      </c>
      <c r="H21" s="1">
        <v>157</v>
      </c>
      <c r="I21" s="3">
        <v>9893</v>
      </c>
      <c r="J21" s="3">
        <v>1553201</v>
      </c>
    </row>
    <row r="22" spans="1:10" x14ac:dyDescent="0.35">
      <c r="A22" s="1">
        <v>42109</v>
      </c>
      <c r="B22" s="2">
        <v>44301</v>
      </c>
      <c r="C22" s="1" t="s">
        <v>5</v>
      </c>
      <c r="D22" s="1" t="s">
        <v>12</v>
      </c>
      <c r="E22" s="1" t="s">
        <v>16</v>
      </c>
      <c r="F22" s="1">
        <v>2021</v>
      </c>
      <c r="G22" s="1" t="s">
        <v>22</v>
      </c>
      <c r="H22" s="1">
        <v>116</v>
      </c>
      <c r="I22" s="3">
        <v>28908</v>
      </c>
      <c r="J22" s="3">
        <v>353328</v>
      </c>
    </row>
    <row r="23" spans="1:10" x14ac:dyDescent="0.35">
      <c r="A23" s="1">
        <v>42110</v>
      </c>
      <c r="B23" s="2">
        <v>44667</v>
      </c>
      <c r="C23" s="1" t="s">
        <v>6</v>
      </c>
      <c r="D23" s="1" t="s">
        <v>11</v>
      </c>
      <c r="E23" s="1" t="s">
        <v>16</v>
      </c>
      <c r="F23" s="1">
        <v>2022</v>
      </c>
      <c r="G23" s="1" t="s">
        <v>22</v>
      </c>
      <c r="H23" s="1">
        <v>65</v>
      </c>
      <c r="I23" s="3">
        <v>22916</v>
      </c>
      <c r="J23" s="3">
        <v>1489540</v>
      </c>
    </row>
    <row r="24" spans="1:10" x14ac:dyDescent="0.35">
      <c r="A24" s="1">
        <v>42116</v>
      </c>
      <c r="B24" s="2">
        <v>44673</v>
      </c>
      <c r="C24" s="1" t="s">
        <v>7</v>
      </c>
      <c r="D24" s="1" t="s">
        <v>11</v>
      </c>
      <c r="E24" s="1" t="s">
        <v>16</v>
      </c>
      <c r="F24" s="1">
        <v>2022</v>
      </c>
      <c r="G24" s="1" t="s">
        <v>22</v>
      </c>
      <c r="H24" s="1">
        <v>193</v>
      </c>
      <c r="I24" s="3">
        <v>9136</v>
      </c>
      <c r="J24" s="3">
        <v>1763248</v>
      </c>
    </row>
    <row r="25" spans="1:10" x14ac:dyDescent="0.35">
      <c r="A25" s="1">
        <v>42123</v>
      </c>
      <c r="B25" s="2">
        <v>44680</v>
      </c>
      <c r="C25" s="1" t="s">
        <v>8</v>
      </c>
      <c r="D25" s="1" t="s">
        <v>11</v>
      </c>
      <c r="E25" s="1" t="s">
        <v>16</v>
      </c>
      <c r="F25" s="1">
        <v>2022</v>
      </c>
      <c r="G25" s="1" t="s">
        <v>22</v>
      </c>
      <c r="H25" s="1">
        <v>143</v>
      </c>
      <c r="I25" s="3">
        <v>22102</v>
      </c>
      <c r="J25" s="3">
        <v>3160586</v>
      </c>
    </row>
    <row r="26" spans="1:10" x14ac:dyDescent="0.35">
      <c r="A26" s="1">
        <v>42128</v>
      </c>
      <c r="B26" s="2">
        <v>44685</v>
      </c>
      <c r="C26" s="1" t="s">
        <v>3</v>
      </c>
      <c r="D26" s="1" t="s">
        <v>12</v>
      </c>
      <c r="E26" s="1" t="s">
        <v>18</v>
      </c>
      <c r="F26" s="1">
        <v>2022</v>
      </c>
      <c r="G26" s="1" t="s">
        <v>22</v>
      </c>
      <c r="H26" s="1">
        <v>93</v>
      </c>
      <c r="I26" s="3">
        <v>27625</v>
      </c>
      <c r="J26" s="3">
        <v>2569125</v>
      </c>
    </row>
    <row r="27" spans="1:10" x14ac:dyDescent="0.35">
      <c r="A27" s="1">
        <v>42131</v>
      </c>
      <c r="B27" s="2">
        <v>44323</v>
      </c>
      <c r="C27" s="1" t="s">
        <v>4</v>
      </c>
      <c r="D27" s="1" t="s">
        <v>12</v>
      </c>
      <c r="E27" s="1" t="s">
        <v>18</v>
      </c>
      <c r="F27" s="1">
        <v>2021</v>
      </c>
      <c r="G27" s="1" t="s">
        <v>22</v>
      </c>
      <c r="H27" s="1">
        <v>102</v>
      </c>
      <c r="I27" s="3">
        <v>11779</v>
      </c>
      <c r="J27" s="3">
        <v>1201458</v>
      </c>
    </row>
    <row r="28" spans="1:10" x14ac:dyDescent="0.35">
      <c r="A28" s="1">
        <v>42136</v>
      </c>
      <c r="B28" s="2">
        <v>44693</v>
      </c>
      <c r="C28" s="1" t="s">
        <v>5</v>
      </c>
      <c r="D28" s="1" t="s">
        <v>12</v>
      </c>
      <c r="E28" s="1" t="s">
        <v>18</v>
      </c>
      <c r="F28" s="1">
        <v>2022</v>
      </c>
      <c r="G28" s="1" t="s">
        <v>22</v>
      </c>
      <c r="H28" s="1">
        <v>97</v>
      </c>
      <c r="I28" s="3">
        <v>26415</v>
      </c>
      <c r="J28" s="3">
        <v>2562255</v>
      </c>
    </row>
    <row r="31" spans="1:10" x14ac:dyDescent="0.35">
      <c r="E31" s="9" t="s">
        <v>31</v>
      </c>
    </row>
    <row r="32" spans="1:10" x14ac:dyDescent="0.35">
      <c r="B32" t="s">
        <v>32</v>
      </c>
    </row>
    <row r="33" spans="2:2" x14ac:dyDescent="0.35">
      <c r="B33" t="s">
        <v>33</v>
      </c>
    </row>
    <row r="34" spans="2:2" x14ac:dyDescent="0.35">
      <c r="B34" t="s">
        <v>34</v>
      </c>
    </row>
    <row r="35" spans="2:2" x14ac:dyDescent="0.35">
      <c r="B35" t="s">
        <v>35</v>
      </c>
    </row>
    <row r="36" spans="2:2" x14ac:dyDescent="0.35">
      <c r="B36" t="s">
        <v>36</v>
      </c>
    </row>
    <row r="37" spans="2:2" x14ac:dyDescent="0.35">
      <c r="B37" t="s">
        <v>37</v>
      </c>
    </row>
    <row r="38" spans="2:2" x14ac:dyDescent="0.35">
      <c r="B38" t="s">
        <v>38</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LAB 2</dc:creator>
  <cp:lastModifiedBy>ASUS</cp:lastModifiedBy>
  <dcterms:created xsi:type="dcterms:W3CDTF">2026-01-20T01:56:50Z</dcterms:created>
  <dcterms:modified xsi:type="dcterms:W3CDTF">2026-01-20T05:17:58Z</dcterms:modified>
</cp:coreProperties>
</file>